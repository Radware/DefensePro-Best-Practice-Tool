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498" documentId="13_ncr:1_{1673966E-0E22-4AB2-B693-AE79FF5FF602}" xr6:coauthVersionLast="47" xr6:coauthVersionMax="47" xr10:uidLastSave="{D123AB86-43DF-4D8E-9C45-40F04E70D238}"/>
  <bookViews>
    <workbookView xWindow="-120" yWindow="-120" windowWidth="29040" windowHeight="15840" activeTab="3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state="hidden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18" i="1"/>
  <c r="B19" i="1"/>
  <c r="B20" i="1"/>
  <c r="B7" i="1"/>
  <c r="B8" i="1"/>
  <c r="B9" i="1"/>
  <c r="F6" i="1"/>
  <c r="F7" i="1"/>
  <c r="F8" i="1"/>
  <c r="F10" i="1"/>
  <c r="F11" i="1"/>
  <c r="F12" i="1"/>
  <c r="F13" i="1"/>
  <c r="F14" i="1"/>
  <c r="F15" i="1"/>
  <c r="F16" i="1"/>
  <c r="F17" i="1"/>
  <c r="F18" i="1"/>
  <c r="F19" i="1"/>
  <c r="F20" i="1"/>
  <c r="G2" i="1"/>
  <c r="G3" i="1"/>
  <c r="F2" i="1"/>
  <c r="F3" i="1"/>
  <c r="G7" i="1"/>
  <c r="G8" i="1"/>
  <c r="G10" i="1"/>
  <c r="G11" i="1"/>
  <c r="G12" i="1"/>
  <c r="G13" i="1"/>
  <c r="G14" i="1"/>
  <c r="G15" i="1"/>
  <c r="G16" i="1"/>
  <c r="G17" i="1"/>
  <c r="G18" i="1"/>
  <c r="G19" i="1"/>
  <c r="G20" i="1"/>
  <c r="G6" i="1"/>
  <c r="G5" i="1"/>
  <c r="F5" i="1"/>
  <c r="H11" i="1"/>
  <c r="H12" i="1"/>
  <c r="H13" i="1"/>
  <c r="H14" i="1"/>
  <c r="H15" i="1"/>
  <c r="H16" i="1"/>
  <c r="H17" i="1"/>
  <c r="H18" i="1"/>
  <c r="H19" i="1"/>
  <c r="H20" i="1"/>
  <c r="H5" i="1"/>
  <c r="H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<sst xmlns="http://schemas.openxmlformats.org/spreadsheetml/2006/main" count="163" uniqueCount="81">
  <si>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</si>
  <si>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</si>
  <si>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</si>
  <si>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</si>
  <si>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</si>
  <si>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</si>
  <si>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</si>
  <si>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</si>
  <si>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</si>
  <si>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</si>
  <si>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</si>
  <si>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</si>
  <si>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</si>
  <si>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</si>
  <si>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</si>
  <si>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</si>
  <si>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</si>
  <si>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</si>
  <si>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</si>
  <si>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</si>
  <si>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</si>
  <si>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</si>
  <si>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</si>
  <si>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</si>
  <si>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</si>
  <si>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</si>
  <si>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</si>
  <si>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</si>
  <si>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</si>
  <si>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</si>
  <si>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</si>
  <si>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</si>
  <si>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</si>
  <si>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</si>
  <si>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</si>
  <si>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</si>
  <si>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</si>
  <si>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</si>
  <si>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</si>
  <si>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</si>
  <si>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</si>
  <si>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</si>
  <si>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</si>
  <si>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</si>
  <si>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</si>
  <si>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</si>
  <si>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</si>
  <si>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</si>
  <si>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</si>
  <si>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</si>
  <si>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</si>
  <si>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</si>
  <si>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</si>
  <si>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</si>
  <si>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</si>
  <si>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</si>
  <si>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</si>
  <si>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</si>
  <si>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</si>
  <si>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</si>
  <si>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</si>
  <si>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FTP_srv</t>
  </si>
  <si>
    <t>40.5.4.5</t>
  </si>
  <si>
    <t>Network Class lIst Filterd</t>
  </si>
  <si>
    <t>vDP1</t>
  </si>
  <si>
    <t>10.213.17.82</t>
  </si>
  <si>
    <t>Is Environment symetrics?</t>
  </si>
  <si>
    <t>web3</t>
  </si>
  <si>
    <t>90.50.20.3</t>
  </si>
  <si>
    <t>192.168.1.9,192.168.1.10</t>
  </si>
  <si>
    <t>vDDP</t>
  </si>
  <si>
    <t>10.213.17.83</t>
  </si>
  <si>
    <t>web4</t>
  </si>
  <si>
    <t>130.50.10.0</t>
  </si>
  <si>
    <t>255.255.255.0</t>
  </si>
  <si>
    <t>EAAF subscription enabled</t>
  </si>
  <si>
    <t>AS Profile</t>
  </si>
  <si>
    <t>Empty Slot</t>
  </si>
  <si>
    <t>Priority</t>
  </si>
  <si>
    <t>secure_srv</t>
  </si>
  <si>
    <t>45.20.5.0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</si>
</sst>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J3"/>
  <sheetViews>
    <sheetView zoomScale="115" zoomScaleNormal="115" workbookViewId="0">
      <selection activeCell="F8" sqref="F8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5" width="25" bestFit="1" customWidth="1"/>
    <col min="6" max="7" width="25" customWidth="1"/>
    <col min="8" max="8" width="25" bestFit="1" customWidth="1"/>
    <col min="9" max="9" width="23.85546875" bestFit="1" customWidth="1"/>
    <col min="10" max="10" width="6.28515625" hidden="1" customWidth="1"/>
  </cols>
  <sheetData>
    <row r="1" spans="1:10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66</v>
      </c>
      <c r="F1" s="2" t="s">
        <v>76</v>
      </c>
      <c r="G1" s="2" t="s">
        <v>75</v>
      </c>
      <c r="H1" s="15" t="s">
        <v>56</v>
      </c>
      <c r="I1" s="15" t="s">
        <v>59</v>
      </c>
      <c r="J1" s="15" t="s">
        <v>60</v>
      </c>
    </row>
    <row r="2" spans="1:10" x14ac:dyDescent="0.25">
      <c r="A2" s="2">
        <v>1</v>
      </c>
      <c r="B2" s="2" t="s">
        <v>64</v>
      </c>
      <c r="C2" s="2" t="s">
        <v>65</v>
      </c>
      <c r="D2" s="14"/>
      <c r="E2" s="2" t="s">
        <v>9</v>
      </c>
      <c r="F2" s="2" t="s">
        <v>10</v>
      </c>
      <c r="G2" s="2" t="s">
        <v>9</v>
      </c>
      <c r="H2" s="15" t="s">
        <v>58</v>
      </c>
      <c r="I2" s="15" t="s">
        <v>69</v>
      </c>
      <c r="J2" s="14"/>
    </row>
    <row r="3" spans="1:10" x14ac:dyDescent="0.25">
      <c r="A3" s="2">
        <v>2</v>
      </c>
      <c r="B3" s="2" t="s">
        <v>70</v>
      </c>
      <c r="C3" s="2" t="s">
        <v>71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 G2 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30"/>
  <sheetViews>
    <sheetView topLeftCell="A16" zoomScale="175" zoomScaleNormal="175" workbookViewId="0">
      <selection activeCell="F5" sqref="F5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61</v>
      </c>
      <c r="B7" s="7" t="s">
        <v>62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67</v>
      </c>
      <c r="B11" s="5" t="s">
        <v>68</v>
      </c>
      <c r="C11" s="5" t="s">
        <v>33</v>
      </c>
    </row>
    <row r="12" spans="1:4" x14ac:dyDescent="0.25">
      <c r="A12" s="5" t="s">
        <v>72</v>
      </c>
      <c r="B12" s="5" t="s">
        <v>73</v>
      </c>
      <c r="C12" s="5" t="s">
        <v>74</v>
      </c>
    </row>
    <row r="13" spans="1:4" x14ac:dyDescent="0.25">
      <c r="A13" s="5" t="s">
        <v>79</v>
      </c>
      <c r="B13" s="5" t="s">
        <v>80</v>
      </c>
      <c r="C13" s="5" t="s">
        <v>32</v>
      </c>
    </row>
    <row r="14" spans="1:4" x14ac:dyDescent="0.25">
      <c r="A14" s="5" t="s">
        <v>77</v>
      </c>
      <c r="B14" s="5"/>
      <c r="C14" s="5"/>
    </row>
    <row r="15" spans="1:4" x14ac:dyDescent="0.25">
      <c r="A15" s="5" t="s">
        <v>77</v>
      </c>
      <c r="B15" s="5"/>
      <c r="C15" s="5"/>
    </row>
    <row r="16" spans="1:4" x14ac:dyDescent="0.25">
      <c r="A16" s="5" t="s">
        <v>77</v>
      </c>
      <c r="B16" s="5"/>
      <c r="C16" s="5"/>
    </row>
    <row r="17" spans="1:3" x14ac:dyDescent="0.25">
      <c r="A17" s="5" t="s">
        <v>77</v>
      </c>
      <c r="B17" s="5"/>
      <c r="C17" s="5"/>
    </row>
    <row r="18" spans="1:3" x14ac:dyDescent="0.25">
      <c r="A18" s="5" t="s">
        <v>77</v>
      </c>
      <c r="B18" s="5"/>
      <c r="C18" s="5"/>
    </row>
    <row r="19" spans="1:3" x14ac:dyDescent="0.25">
      <c r="A19" s="5" t="s">
        <v>77</v>
      </c>
      <c r="B19" s="5"/>
      <c r="C19" s="5"/>
    </row>
    <row r="20" spans="1:3" x14ac:dyDescent="0.25">
      <c r="A20" s="5" t="s">
        <v>77</v>
      </c>
      <c r="B20" s="5"/>
      <c r="C20" s="5"/>
    </row>
    <row r="21" spans="1:3" x14ac:dyDescent="0.25">
      <c r="A21" s="5" t="s">
        <v>77</v>
      </c>
      <c r="B21" s="5"/>
      <c r="C21" s="5"/>
    </row>
    <row r="22" spans="1:3" x14ac:dyDescent="0.25">
      <c r="A22" s="5" t="s">
        <v>77</v>
      </c>
      <c r="B22" s="5"/>
      <c r="C22" s="5"/>
    </row>
    <row r="23" spans="1:3" x14ac:dyDescent="0.25">
      <c r="A23" s="5" t="s">
        <v>77</v>
      </c>
      <c r="B23" s="5"/>
      <c r="C23" s="5"/>
    </row>
    <row r="24" spans="1:3" x14ac:dyDescent="0.25">
      <c r="A24" s="5" t="s">
        <v>77</v>
      </c>
      <c r="B24" s="5"/>
      <c r="C24" s="5"/>
    </row>
    <row r="25" spans="1:3" x14ac:dyDescent="0.25">
      <c r="A25" s="5" t="s">
        <v>77</v>
      </c>
      <c r="B25" s="5"/>
      <c r="C25" s="5"/>
    </row>
    <row r="26" spans="1:3" x14ac:dyDescent="0.25">
      <c r="A26" s="5" t="s">
        <v>77</v>
      </c>
      <c r="B26" s="5"/>
      <c r="C26" s="5"/>
    </row>
    <row r="27" spans="1:3" x14ac:dyDescent="0.25">
      <c r="A27" s="5" t="s">
        <v>77</v>
      </c>
      <c r="B27" s="5"/>
      <c r="C27" s="5"/>
    </row>
    <row r="28" spans="1:3" x14ac:dyDescent="0.25">
      <c r="A28" s="5" t="s">
        <v>77</v>
      </c>
      <c r="B28" s="5"/>
      <c r="C28" s="5"/>
    </row>
    <row r="29" spans="1:3" x14ac:dyDescent="0.25">
      <c r="A29" s="5" t="s">
        <v>77</v>
      </c>
      <c r="B29" s="5"/>
      <c r="C29" s="5"/>
    </row>
    <row r="30" spans="1:3" x14ac:dyDescent="0.25">
      <c r="A30" s="5" t="s">
        <v>77</v>
      </c>
      <c r="B30" s="5"/>
      <c r="C3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63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 t="str">
        <f>'Network Classes'!A12</f>
        <v>web4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 t="str">
        <f>'Network Classes'!A16</f>
        <v>Empty Slot</v>
      </c>
    </row>
    <row r="19" spans="1:1" hidden="1" x14ac:dyDescent="0.25">
      <c r="A19" s="3" t="str">
        <f>'Network Classes'!A17</f>
        <v>Empty Slot</v>
      </c>
    </row>
    <row r="20" spans="1:1" hidden="1" x14ac:dyDescent="0.25">
      <c r="A20" s="3" t="str">
        <f>'Network Classes'!A18</f>
        <v>Empty Slot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0"/>
  <sheetViews>
    <sheetView tabSelected="1" zoomScale="160" zoomScaleNormal="160" workbookViewId="0">
      <pane xSplit="1" topLeftCell="B1" activePane="topRight" state="frozen"/>
      <selection pane="topRight" activeCell="C15" sqref="C15"/>
    </sheetView>
  </sheetViews>
  <sheetFormatPr defaultColWidth="9.140625" defaultRowHeight="15" x14ac:dyDescent="0.25"/>
  <cols>
    <col min="1" max="1" width="11.140625" style="8" bestFit="1" customWidth="1"/>
    <col min="2" max="2" width="11.140625" style="8" customWidth="1"/>
    <col min="3" max="3" width="9.140625" style="8" bestFit="1" customWidth="1"/>
    <col min="4" max="4" width="16.42578125" style="8" bestFit="1" customWidth="1"/>
    <col min="5" max="5" width="19.28515625" style="8" bestFit="1" customWidth="1"/>
    <col min="6" max="6" width="12.42578125" style="8" customWidth="1"/>
    <col min="7" max="7" width="13.42578125" style="8" bestFit="1" customWidth="1"/>
    <col min="8" max="8" width="21.7109375" style="8" bestFit="1" customWidth="1"/>
    <col min="9" max="9" width="25" style="8" bestFit="1" customWidth="1"/>
    <col min="10" max="12" width="24.5703125" style="8" bestFit="1" customWidth="1"/>
    <col min="13" max="13" width="15" style="8" bestFit="1" customWidth="1"/>
    <col min="14" max="16384" width="9.140625" style="8"/>
  </cols>
  <sheetData>
    <row r="1" spans="1:11" x14ac:dyDescent="0.25">
      <c r="A1" s="11" t="s">
        <v>15</v>
      </c>
      <c r="B1" s="11" t="s">
        <v>78</v>
      </c>
      <c r="C1" s="11" t="s">
        <v>23</v>
      </c>
      <c r="D1" s="11" t="s">
        <v>8</v>
      </c>
      <c r="E1" s="11" t="s">
        <v>19</v>
      </c>
      <c r="F1" s="17" t="s">
        <v>52</v>
      </c>
      <c r="G1" s="17" t="s">
        <v>53</v>
      </c>
      <c r="H1" s="11" t="s">
        <v>18</v>
      </c>
      <c r="I1" s="11" t="s">
        <v>47</v>
      </c>
      <c r="K1" s="9"/>
    </row>
    <row r="2" spans="1:11" x14ac:dyDescent="0.25">
      <c r="A2" s="11" t="s">
        <v>21</v>
      </c>
      <c r="B2" s="10">
        <v>400</v>
      </c>
      <c r="C2" s="10">
        <v>100000</v>
      </c>
      <c r="D2" s="11" t="s">
        <v>0</v>
      </c>
      <c r="E2" s="11" t="s">
        <v>5</v>
      </c>
      <c r="F2" s="11" t="str">
        <f t="shared" ref="F2:F3" si="0">IF(D2="DNS","0","")</f>
        <v/>
      </c>
      <c r="G2" s="11" t="str">
        <f t="shared" ref="G2:G3" si="1">IF(D2="DNS","0","")</f>
        <v/>
      </c>
      <c r="H2" s="11" t="s">
        <v>9</v>
      </c>
      <c r="I2" s="12" t="s">
        <v>57</v>
      </c>
    </row>
    <row r="3" spans="1:11" x14ac:dyDescent="0.25">
      <c r="A3" s="11" t="s">
        <v>22</v>
      </c>
      <c r="B3" s="10">
        <v>300</v>
      </c>
      <c r="C3" s="11">
        <v>150000</v>
      </c>
      <c r="D3" s="11" t="s">
        <v>1</v>
      </c>
      <c r="E3" s="11" t="s">
        <v>6</v>
      </c>
      <c r="F3" s="11" t="str">
        <f t="shared" si="0"/>
        <v/>
      </c>
      <c r="G3" s="11" t="str">
        <f t="shared" si="1"/>
        <v/>
      </c>
      <c r="H3" s="11" t="s">
        <v>9</v>
      </c>
      <c r="I3" s="12" t="s">
        <v>57</v>
      </c>
    </row>
    <row r="4" spans="1:11" x14ac:dyDescent="0.25">
      <c r="A4" s="11" t="s">
        <v>7</v>
      </c>
      <c r="B4" s="10">
        <v>200</v>
      </c>
      <c r="C4" s="11">
        <v>130000</v>
      </c>
      <c r="D4" s="11" t="s">
        <v>2</v>
      </c>
      <c r="E4" s="11" t="s">
        <v>7</v>
      </c>
      <c r="F4" s="11">
        <v>1000</v>
      </c>
      <c r="G4" s="11">
        <v>1500</v>
      </c>
      <c r="H4" s="11"/>
      <c r="I4" s="12" t="s">
        <v>57</v>
      </c>
    </row>
    <row r="5" spans="1:11" x14ac:dyDescent="0.25">
      <c r="A5" s="11" t="s">
        <v>54</v>
      </c>
      <c r="B5" s="10">
        <v>250</v>
      </c>
      <c r="C5" s="11">
        <v>200000</v>
      </c>
      <c r="D5" s="11" t="s">
        <v>55</v>
      </c>
      <c r="E5" s="11" t="s">
        <v>4</v>
      </c>
      <c r="F5" s="11" t="str">
        <f>IF(D5="DNS","0","")</f>
        <v/>
      </c>
      <c r="G5" s="11" t="str">
        <f>IF(D5="DNS","0","")</f>
        <v/>
      </c>
      <c r="H5" s="11" t="str">
        <f t="shared" ref="H5:H20" si="2">IF(A5="","","No")</f>
        <v>No</v>
      </c>
      <c r="I5" s="12" t="s">
        <v>57</v>
      </c>
    </row>
    <row r="6" spans="1:11" x14ac:dyDescent="0.25">
      <c r="A6" s="11" t="s">
        <v>20</v>
      </c>
      <c r="B6" s="10">
        <v>150</v>
      </c>
      <c r="C6" s="11">
        <v>250000</v>
      </c>
      <c r="D6" s="11" t="s">
        <v>20</v>
      </c>
      <c r="E6" s="11" t="s">
        <v>61</v>
      </c>
      <c r="F6" s="11" t="str">
        <f t="shared" ref="F6:F20" si="3">IF(D6="DNS","0","")</f>
        <v/>
      </c>
      <c r="G6" s="11" t="str">
        <f>IF(D6="DNS","0","")</f>
        <v/>
      </c>
      <c r="H6" s="11" t="str">
        <f t="shared" si="2"/>
        <v>No</v>
      </c>
      <c r="I6" s="12" t="s">
        <v>57</v>
      </c>
    </row>
    <row r="7" spans="1:11" x14ac:dyDescent="0.25">
      <c r="A7" s="11" t="s">
        <v>3</v>
      </c>
      <c r="B7" s="10" t="str">
        <f t="shared" ref="B7:B20" si="4">IF(A7&lt;&gt;"","0","")</f>
        <v>0</v>
      </c>
      <c r="C7" s="10">
        <v>100000</v>
      </c>
      <c r="D7" s="11" t="s">
        <v>3</v>
      </c>
      <c r="E7" s="11" t="s">
        <v>3</v>
      </c>
      <c r="F7" s="11" t="str">
        <f t="shared" si="3"/>
        <v/>
      </c>
      <c r="G7" s="11" t="str">
        <f t="shared" ref="G7:G20" si="5">IF(D7="DNS","0","")</f>
        <v/>
      </c>
      <c r="H7" s="11" t="s">
        <v>10</v>
      </c>
      <c r="I7" s="12" t="s">
        <v>57</v>
      </c>
    </row>
    <row r="8" spans="1:11" x14ac:dyDescent="0.25">
      <c r="A8" s="11" t="s">
        <v>67</v>
      </c>
      <c r="B8" s="10" t="str">
        <f t="shared" si="4"/>
        <v>0</v>
      </c>
      <c r="C8" s="10">
        <v>100000</v>
      </c>
      <c r="D8" s="11" t="s">
        <v>0</v>
      </c>
      <c r="E8" s="11" t="s">
        <v>67</v>
      </c>
      <c r="F8" s="11" t="str">
        <f t="shared" si="3"/>
        <v/>
      </c>
      <c r="G8" s="11" t="str">
        <f t="shared" si="5"/>
        <v/>
      </c>
      <c r="H8" s="11" t="s">
        <v>9</v>
      </c>
      <c r="I8" s="12" t="s">
        <v>57</v>
      </c>
    </row>
    <row r="9" spans="1:11" x14ac:dyDescent="0.25">
      <c r="A9" s="11" t="s">
        <v>72</v>
      </c>
      <c r="B9" s="10" t="str">
        <f t="shared" si="4"/>
        <v>0</v>
      </c>
      <c r="C9" s="11">
        <v>125000</v>
      </c>
      <c r="D9" s="11" t="s">
        <v>1</v>
      </c>
      <c r="E9" s="11" t="s">
        <v>72</v>
      </c>
      <c r="F9" s="11"/>
      <c r="G9" s="11"/>
      <c r="H9" s="11" t="s">
        <v>9</v>
      </c>
      <c r="I9" s="12" t="s">
        <v>57</v>
      </c>
    </row>
    <row r="10" spans="1:11" x14ac:dyDescent="0.25">
      <c r="A10" s="11"/>
      <c r="B10" s="10" t="str">
        <f t="shared" si="4"/>
        <v/>
      </c>
      <c r="C10" s="11"/>
      <c r="D10" s="16"/>
      <c r="E10" s="11"/>
      <c r="F10" s="11" t="str">
        <f t="shared" si="3"/>
        <v/>
      </c>
      <c r="G10" s="11" t="str">
        <f t="shared" si="5"/>
        <v/>
      </c>
      <c r="H10" s="11"/>
      <c r="I10" s="12" t="s">
        <v>46</v>
      </c>
    </row>
    <row r="11" spans="1:11" x14ac:dyDescent="0.25">
      <c r="A11" s="18"/>
      <c r="B11" s="10" t="str">
        <f t="shared" si="4"/>
        <v/>
      </c>
      <c r="C11" s="11"/>
      <c r="D11" s="11"/>
      <c r="E11" s="11"/>
      <c r="F11" s="11" t="str">
        <f t="shared" si="3"/>
        <v/>
      </c>
      <c r="G11" s="11" t="str">
        <f t="shared" si="5"/>
        <v/>
      </c>
      <c r="H11" s="11" t="str">
        <f t="shared" si="2"/>
        <v/>
      </c>
      <c r="I11" s="12" t="s">
        <v>46</v>
      </c>
    </row>
    <row r="12" spans="1:11" x14ac:dyDescent="0.25">
      <c r="A12" s="11"/>
      <c r="B12" s="10" t="str">
        <f t="shared" si="4"/>
        <v/>
      </c>
      <c r="C12" s="11"/>
      <c r="D12" s="11"/>
      <c r="E12" s="11"/>
      <c r="F12" s="11" t="str">
        <f t="shared" si="3"/>
        <v/>
      </c>
      <c r="G12" s="11" t="str">
        <f t="shared" si="5"/>
        <v/>
      </c>
      <c r="H12" s="11" t="str">
        <f t="shared" si="2"/>
        <v/>
      </c>
      <c r="I12" s="12" t="s">
        <v>46</v>
      </c>
    </row>
    <row r="13" spans="1:11" x14ac:dyDescent="0.25">
      <c r="A13" s="11"/>
      <c r="B13" s="10" t="str">
        <f t="shared" si="4"/>
        <v/>
      </c>
      <c r="C13" s="11"/>
      <c r="D13" s="11"/>
      <c r="E13" s="11"/>
      <c r="F13" s="11" t="str">
        <f t="shared" si="3"/>
        <v/>
      </c>
      <c r="G13" s="11" t="str">
        <f t="shared" si="5"/>
        <v/>
      </c>
      <c r="H13" s="11" t="str">
        <f t="shared" si="2"/>
        <v/>
      </c>
      <c r="I13" s="12" t="s">
        <v>46</v>
      </c>
    </row>
    <row r="14" spans="1:11" x14ac:dyDescent="0.25">
      <c r="A14" s="11"/>
      <c r="B14" s="10" t="str">
        <f t="shared" si="4"/>
        <v/>
      </c>
      <c r="C14" s="11"/>
      <c r="D14" s="11"/>
      <c r="E14" s="11"/>
      <c r="F14" s="11" t="str">
        <f t="shared" si="3"/>
        <v/>
      </c>
      <c r="G14" s="11" t="str">
        <f t="shared" si="5"/>
        <v/>
      </c>
      <c r="H14" s="11" t="str">
        <f t="shared" si="2"/>
        <v/>
      </c>
      <c r="I14" s="12" t="s">
        <v>46</v>
      </c>
    </row>
    <row r="15" spans="1:11" x14ac:dyDescent="0.25">
      <c r="A15" s="11"/>
      <c r="B15" s="10" t="str">
        <f t="shared" si="4"/>
        <v/>
      </c>
      <c r="C15" s="11"/>
      <c r="D15" s="11"/>
      <c r="E15" s="11"/>
      <c r="F15" s="11" t="str">
        <f t="shared" si="3"/>
        <v/>
      </c>
      <c r="G15" s="11" t="str">
        <f t="shared" si="5"/>
        <v/>
      </c>
      <c r="H15" s="11" t="str">
        <f t="shared" si="2"/>
        <v/>
      </c>
      <c r="I15" s="12" t="s">
        <v>46</v>
      </c>
    </row>
    <row r="16" spans="1:11" x14ac:dyDescent="0.25">
      <c r="A16" s="11"/>
      <c r="B16" s="10" t="str">
        <f t="shared" si="4"/>
        <v/>
      </c>
      <c r="C16" s="11"/>
      <c r="D16" s="11"/>
      <c r="E16" s="11"/>
      <c r="F16" s="11" t="str">
        <f t="shared" si="3"/>
        <v/>
      </c>
      <c r="G16" s="11" t="str">
        <f t="shared" si="5"/>
        <v/>
      </c>
      <c r="H16" s="11" t="str">
        <f t="shared" si="2"/>
        <v/>
      </c>
      <c r="I16" s="12" t="s">
        <v>46</v>
      </c>
    </row>
    <row r="17" spans="1:9" x14ac:dyDescent="0.25">
      <c r="A17" s="11"/>
      <c r="B17" s="10" t="str">
        <f t="shared" si="4"/>
        <v/>
      </c>
      <c r="C17" s="11"/>
      <c r="D17" s="11"/>
      <c r="E17" s="11"/>
      <c r="F17" s="11" t="str">
        <f t="shared" si="3"/>
        <v/>
      </c>
      <c r="G17" s="11" t="str">
        <f t="shared" si="5"/>
        <v/>
      </c>
      <c r="H17" s="11" t="str">
        <f t="shared" si="2"/>
        <v/>
      </c>
      <c r="I17" s="12" t="s">
        <v>46</v>
      </c>
    </row>
    <row r="18" spans="1:9" x14ac:dyDescent="0.25">
      <c r="A18" s="11"/>
      <c r="B18" s="10" t="str">
        <f t="shared" si="4"/>
        <v/>
      </c>
      <c r="C18" s="11"/>
      <c r="D18" s="11"/>
      <c r="E18" s="11"/>
      <c r="F18" s="11" t="str">
        <f t="shared" si="3"/>
        <v/>
      </c>
      <c r="G18" s="11" t="str">
        <f t="shared" si="5"/>
        <v/>
      </c>
      <c r="H18" s="11" t="str">
        <f t="shared" si="2"/>
        <v/>
      </c>
      <c r="I18" s="12" t="s">
        <v>46</v>
      </c>
    </row>
    <row r="19" spans="1:9" x14ac:dyDescent="0.25">
      <c r="A19" s="11"/>
      <c r="B19" s="10" t="str">
        <f t="shared" si="4"/>
        <v/>
      </c>
      <c r="C19" s="11"/>
      <c r="D19" s="11"/>
      <c r="E19" s="11"/>
      <c r="F19" s="11" t="str">
        <f t="shared" si="3"/>
        <v/>
      </c>
      <c r="G19" s="11" t="str">
        <f t="shared" si="5"/>
        <v/>
      </c>
      <c r="H19" s="11" t="str">
        <f t="shared" si="2"/>
        <v/>
      </c>
      <c r="I19" s="12" t="s">
        <v>46</v>
      </c>
    </row>
    <row r="20" spans="1:9" x14ac:dyDescent="0.25">
      <c r="A20" s="11"/>
      <c r="B20" s="10" t="str">
        <f t="shared" si="4"/>
        <v/>
      </c>
      <c r="C20" s="11"/>
      <c r="D20" s="11"/>
      <c r="E20" s="11"/>
      <c r="F20" s="11" t="str">
        <f t="shared" si="3"/>
        <v/>
      </c>
      <c r="G20" s="11" t="str">
        <f t="shared" si="5"/>
        <v/>
      </c>
      <c r="H20" s="11" t="str">
        <f t="shared" si="2"/>
        <v/>
      </c>
      <c r="I20" s="12" t="s">
        <v>46</v>
      </c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 xr:uid="{6F562E85-8BDB-4EB7-B274-DE2AC37608F4}">
          <x14:formula1>
            <xm:f>'Drop Down List'!$D$3:$D$8</xm:f>
          </x14:formula1>
          <xm:sqref>D2:D20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H2:H20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E2:E9 E11:E20</xm:sqref>
        </x14:dataValidation>
        <x14:dataValidation type="list" allowBlank="1" showInputMessage="1" showErrorMessage="1" xr:uid="{4C87D4B3-7B30-4D87-B45C-36A4A4A419FA}">
          <x14:formula1>
            <xm:f>IF(OR(H2="No",H2=""),'Drop Down List'!$G$3,'Drop Down List'!F3:F10)</xm:f>
          </x14:formula1>
          <xm:sqref>I2</xm:sqref>
        </x14:dataValidation>
        <x14:dataValidation type="list" allowBlank="1" showInputMessage="1" showErrorMessage="1" xr:uid="{545085CC-8117-467B-934E-8B8512307F8C}">
          <x14:formula1>
            <xm:f>'Network Classes'!$A$2:$A$20</xm:f>
          </x14:formula1>
          <xm:sqref>E10</xm:sqref>
        </x14:dataValidation>
        <x14:dataValidation type="list" allowBlank="1" showInputMessage="1" showErrorMessage="1" xr:uid="{8694AD52-334E-47DF-B376-3DACD7FBE29E}">
          <x14:formula1>
            <xm:f>IF(OR(H3="No",H3=""),'Drop Down List'!$G$3,'Drop Down List'!F3:F10)</xm:f>
          </x14:formula1>
          <xm:sqref>I3</xm:sqref>
        </x14:dataValidation>
        <x14:dataValidation type="list" allowBlank="1" showInputMessage="1" showErrorMessage="1" xr:uid="{2B371C69-6E9C-4982-94E4-DF6E68C19746}">
          <x14:formula1>
            <xm:f>IF(OR(H4="No",H4=""),'Drop Down List'!$G$3,'Drop Down List'!F3:F10)</xm:f>
          </x14:formula1>
          <xm:sqref>I4</xm:sqref>
        </x14:dataValidation>
        <x14:dataValidation type="list" allowBlank="1" showInputMessage="1" showErrorMessage="1" xr:uid="{1D4160CC-346A-4C29-8FFE-0E061B9276D3}">
          <x14:formula1>
            <xm:f>IF(OR(H5="No",H5=""),'Drop Down List'!$G$3,'Drop Down List'!F3:F10)</xm:f>
          </x14:formula1>
          <xm:sqref>I5</xm:sqref>
        </x14:dataValidation>
        <x14:dataValidation type="list" allowBlank="1" showInputMessage="1" showErrorMessage="1" xr:uid="{DFD3FF3A-E4B9-436B-8AF8-B8CF2DCB004F}">
          <x14:formula1>
            <xm:f>IF(OR(H6="No",H6=""),'Drop Down List'!$G$3,'Drop Down List'!F3:F10)</xm:f>
          </x14:formula1>
          <xm:sqref>I6</xm:sqref>
        </x14:dataValidation>
        <x14:dataValidation type="list" allowBlank="1" showInputMessage="1" showErrorMessage="1" xr:uid="{3BE0867D-B03C-4892-8B69-B3178DDC8DCB}">
          <x14:formula1>
            <xm:f>IF(OR(H7="No",H7=""),'Drop Down List'!$G$3,'Drop Down List'!F3:F10)</xm:f>
          </x14:formula1>
          <xm:sqref>I7</xm:sqref>
        </x14:dataValidation>
        <x14:dataValidation type="list" allowBlank="1" showInputMessage="1" showErrorMessage="1" xr:uid="{0A78A470-3C8D-424C-8732-EC1FDAD4AECA}">
          <x14:formula1>
            <xm:f>IF(OR(H8="No",H8=""),'Drop Down List'!$G$3,'Drop Down List'!F3:F10)</xm:f>
          </x14:formula1>
          <xm:sqref>I8</xm:sqref>
        </x14:dataValidation>
        <x14:dataValidation type="list" allowBlank="1" showInputMessage="1" showErrorMessage="1" xr:uid="{29525A26-6CA8-4A99-A8F9-B143321F2E0B}">
          <x14:formula1>
            <xm:f>IF(OR(H9="No",H9=""),'Drop Down List'!$G$3,'Drop Down List'!F3:F10)</xm:f>
          </x14:formula1>
          <xm:sqref>I9</xm:sqref>
        </x14:dataValidation>
        <x14:dataValidation type="list" allowBlank="1" showInputMessage="1" showErrorMessage="1" xr:uid="{BB6174D3-5662-465F-84D9-3BD32DD69126}">
          <x14:formula1>
            <xm:f>IF(OR(H10="No",H10=""),'Drop Down List'!$G$3,'Drop Down List'!F3:F10)</xm:f>
          </x14:formula1>
          <xm:sqref>I10</xm:sqref>
        </x14:dataValidation>
        <x14:dataValidation type="list" allowBlank="1" showInputMessage="1" showErrorMessage="1" xr:uid="{969BB31F-B083-431A-82F8-846C7B7E5927}">
          <x14:formula1>
            <xm:f>IF(OR(H11="No",H11=""),'Drop Down List'!$G$3,'Drop Down List'!F3:F10)</xm:f>
          </x14:formula1>
          <xm:sqref>I11</xm:sqref>
        </x14:dataValidation>
        <x14:dataValidation type="list" allowBlank="1" showInputMessage="1" showErrorMessage="1" xr:uid="{109C0D84-2020-4264-889B-E57A3405404F}">
          <x14:formula1>
            <xm:f>IF(OR(H12="No",H12=""),'Drop Down List'!$G$3,'Drop Down List'!F3:F10)</xm:f>
          </x14:formula1>
          <xm:sqref>I12</xm:sqref>
        </x14:dataValidation>
        <x14:dataValidation type="list" allowBlank="1" showInputMessage="1" showErrorMessage="1" xr:uid="{51D3343B-668F-4E7A-9939-CDF3FB0DEA8A}">
          <x14:formula1>
            <xm:f>IF(OR(H13="No",H13=""),'Drop Down List'!$G$3,'Drop Down List'!F3:F10)</xm:f>
          </x14:formula1>
          <xm:sqref>I13</xm:sqref>
        </x14:dataValidation>
        <x14:dataValidation type="list" allowBlank="1" showInputMessage="1" showErrorMessage="1" xr:uid="{48F5923A-A5F1-4200-B829-75C4171D05E0}">
          <x14:formula1>
            <xm:f>IF(OR(H14="No",H14=""),'Drop Down List'!$G$3,'Drop Down List'!F3:F10)</xm:f>
          </x14:formula1>
          <xm:sqref>I14</xm:sqref>
        </x14:dataValidation>
        <x14:dataValidation type="list" allowBlank="1" showInputMessage="1" showErrorMessage="1" xr:uid="{AD179248-1774-40B9-A979-DAEF301D90D7}">
          <x14:formula1>
            <xm:f>IF(OR(H15="No",H15=""),'Drop Down List'!$G$3,'Drop Down List'!F3:F10)</xm:f>
          </x14:formula1>
          <xm:sqref>I15</xm:sqref>
        </x14:dataValidation>
        <x14:dataValidation type="list" allowBlank="1" showInputMessage="1" showErrorMessage="1" xr:uid="{F9B8CE4A-9A19-4D5F-8F1E-50B77F36ADBF}">
          <x14:formula1>
            <xm:f>IF(OR(H16="No",H16=""),'Drop Down List'!$G$3,'Drop Down List'!F3:F10)</xm:f>
          </x14:formula1>
          <xm:sqref>I16</xm:sqref>
        </x14:dataValidation>
        <x14:dataValidation type="list" allowBlank="1" showInputMessage="1" showErrorMessage="1" xr:uid="{31F9CECC-63A1-41B6-85DD-016B78517AD1}">
          <x14:formula1>
            <xm:f>IF(OR(H17="No",H17=""),'Drop Down List'!$G$3,'Drop Down List'!F3:F10)</xm:f>
          </x14:formula1>
          <xm:sqref>I17</xm:sqref>
        </x14:dataValidation>
        <x14:dataValidation type="list" allowBlank="1" showInputMessage="1" showErrorMessage="1" xr:uid="{F58A89BE-294B-4C8A-81A6-4D3197FAEDB1}">
          <x14:formula1>
            <xm:f>IF(OR(H18="No",H18=""),'Drop Down List'!$G$3,'Drop Down List'!F3:F10)</xm:f>
          </x14:formula1>
          <xm:sqref>I18</xm:sqref>
        </x14:dataValidation>
        <x14:dataValidation type="list" allowBlank="1" showInputMessage="1" showErrorMessage="1" xr:uid="{5CD50EA7-8747-4ED1-8479-67F67F7E5E21}">
          <x14:formula1>
            <xm:f>IF(OR(H19="No",H19=""),'Drop Down List'!$G$3,'Drop Down List'!F3:F10)</xm:f>
          </x14:formula1>
          <xm:sqref>I19</xm:sqref>
        </x14:dataValidation>
        <x14:dataValidation type="list" allowBlank="1" showInputMessage="1" showErrorMessage="1" xr:uid="{CB180CC9-1950-495C-859C-CCA160101E30}">
          <x14:formula1>
            <xm:f>IF(OR(H20="No",H20=""),'Drop Down List'!$G$3,'Drop Down List'!F3:F10)</xm:f>
          </x14:formula1>
          <xm:sqref>I20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F21" sqref="F21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2021-11-03T13:06:44Z</dcterms:modified>
</cp:coreProperties>
</file>